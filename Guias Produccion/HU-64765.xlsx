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21.xml" ContentType="application/vnd.ms-excel.controlproperties+xml"/>
  <Override PartName="/xl/ctrlProps/ctrlProp122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EE466956-BD56-4F0B-B6A8-B4F1010EE5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4" sheetId="4" r:id="rId5"/>
  </sheets>
  <externalReferences>
    <externalReference r:id="rId6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10" authorId="0" shapeId="0" xr:uid="{E38D5715-1AFA-431A-83CC-21DE9C796EF7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11" authorId="0" shapeId="0" xr:uid="{0BB96C39-290A-4034-BB8B-3D16B0AF621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12" authorId="0" shapeId="0" xr:uid="{31037AEA-65A0-4656-A463-CF16F7EE1EE6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13" authorId="0" shapeId="0" xr:uid="{FD541C80-4EA2-48A9-9355-993AEE3BD711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14" authorId="0" shapeId="0" xr:uid="{4B07DB53-9880-4447-85F1-94E0738936E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15" authorId="0" shapeId="0" xr:uid="{D066AEFE-B3B5-4634-BDEC-CF1DC758D47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  <comment ref="D18" authorId="0" shapeId="0" xr:uid="{9E16A9DB-4E54-47E4-9D08-657ED3626A3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Recomendaciónes de scripts a tener en cuenta en despliegue</t>
        </r>
      </text>
    </comment>
    <comment ref="A19" authorId="0" shapeId="0" xr:uid="{1A2BEA37-2459-40E2-A78C-6DBB3F6AF98E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Si se debe ejecutar en paralelo al binario</t>
        </r>
      </text>
    </comment>
    <comment ref="A20" authorId="0" shapeId="0" xr:uid="{115F565B-215F-497D-B1C4-1C3FE2B295E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considerar replica en nodos de BDD</t>
        </r>
      </text>
    </comment>
    <comment ref="A21" authorId="0" shapeId="0" xr:uid="{7DF99B86-D6D5-4DD5-8BC5-011906F6C5A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auditoria de objetos</t>
        </r>
      </text>
    </comment>
    <comment ref="D21" authorId="0" shapeId="0" xr:uid="{0A9B83A5-711F-4E7C-B66E-ED2FDC2F329A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el nombre de BDD del ambiente</t>
        </r>
      </text>
    </comment>
    <comment ref="A22" authorId="0" shapeId="0" xr:uid="{2B7EF07E-E9BF-480B-B67E-8ABBFC75DE3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depurar información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4" authorId="0" shapeId="0" xr:uid="{64D425AE-7EEA-43B0-AD41-9A45D1585725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5" authorId="0" shapeId="0" xr:uid="{5EA83087-990A-4044-9ABE-F17DE3E90EF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6" authorId="0" shapeId="0" xr:uid="{CA285414-EF2B-431C-8081-AF988D304F54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7" authorId="0" shapeId="0" xr:uid="{1E523F8E-146C-48AB-B141-727411B214B2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8" authorId="0" shapeId="0" xr:uid="{B11E6346-268C-485D-82E3-E637B5C27EE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9" authorId="0" shapeId="0" xr:uid="{315F76E3-E5E8-4A27-9E8F-D615108AA22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<sst xmlns="http://schemas.openxmlformats.org/spreadsheetml/2006/main" count="184" uniqueCount="124">
  <si>
    <t>Guia de implementación a producción V2.11</t>
  </si>
  <si>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</si>
  <si>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</si>
  <si>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</si>
  <si>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</si>
  <si>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</si>
  <si>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</si>
  <si>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</si>
  <si>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</si>
  <si>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</si>
  <si>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</si>
  <si>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</si>
  <si>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</si>
  <si>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</si>
  <si>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</si>
  <si>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</si>
  <si>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Clientes</t>
  </si>
  <si>
    <t>App Bodegas</t>
  </si>
  <si>
    <t>Cliente360 Front</t>
  </si>
  <si>
    <t>Cliente360 Back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</si>
  <si>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</si>
  <si>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</si>
  <si>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</si>
  <si>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</si>
  <si>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</si>
  <si>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</si>
  <si>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</si>
  <si>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Ejecución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</si>
  <si>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</si>
  <si>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</si>
  <si>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</si>
  <si>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</si>
  <si>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</si>
  <si>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</si>
  <si>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</si>
  <si>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</si>
  <si>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</si>
  <si>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</si>
  <si>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</si>
  <si>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</si>
  <si>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</si>
  <si>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</si>
  <si>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</si>
  <si>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</si>
  <si>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</si>
  <si>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</si>
  <si>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</si>
  <si>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</si>
  <si>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</si>
  <si>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</si>
  <si>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</si>
  <si>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</si>
  <si>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</si>
  <si>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</si>
  <si>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</si>
  <si>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</si>
  <si>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</si>
  <si>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</si>
  <si>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</si>
  <si>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</si>
  <si>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</si>
  <si>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</si>
  <si>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</si>
  <si>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</si>
  <si>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</si>
  <si>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</si>
  <si>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</si>
  <si>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</si>
  <si>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</si>
  <si>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</si>
  <si>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</si>
  <si>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</si>
  <si>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</si>
  <si>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</si>
  <si>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</si>
  <si>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</si>
  <si>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</si>
  <si>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02</t>
    </r>
  </si>
  <si>
    <r>
      <t xml:space="preserve">F.R: </t>
    </r>
    <r>
      <rPr>
        <sz val="11"/>
        <color theme="1"/>
        <rFont val="Calibri"/>
        <family val="2"/>
        <scheme val="minor"/>
      </rPr>
      <t>2025-04-14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</si>
  <si>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</si>
  <si>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</si>
  <si>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</si>
  <si>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</si>
  <si>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</si>
  <si>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</si>
  <si>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</si>
  <si>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</si>
  <si>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</si>
  <si>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</si>
  <si>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El nombre de los objetos y los scripts debe definirse en ingles y en PascalCase</t>
  </si>
  <si>
    <t>X</t>
  </si>
  <si>
    <t>Nomenclatura descriptiva y con prefijo para orden de ejecución: Ejemplo: 01- 02- 03-</t>
  </si>
  <si>
    <t>Encabezado: Formato y datos actuales</t>
  </si>
  <si>
    <t>Tablas</t>
  </si>
  <si>
    <t>Toda tabla debe tener una llave primaria definida y los campos de control CreatedDate, CreatedBy, ModifiedDate, ModifiedBy</t>
  </si>
  <si>
    <t>Evitar el uso de nchar, nvarchar, ntext, char</t>
  </si>
  <si>
    <t>Programas</t>
  </si>
  <si>
    <t>Iniciar por CREATE OR ALTER y [dbo]</t>
  </si>
  <si>
    <t>Los parámetros y variables deben tener el mismo tipo de datos y longitud del campo con el que se está comparando o poblando. En caso de ser nuevos, debe especificarse en octetos</t>
  </si>
  <si>
    <t>No utilizar SET para la asignación de un valor a una variable, en su lugar se utilizar SELECT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</si>
  <si>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</si>
  <si>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</si>
  <si>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</si>
  <si>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</si>
  <si>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</si>
  <si>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</si>
  <si>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alliance_testing</t>
  </si>
  <si>
    <t>Fabian Aranda</t>
  </si>
  <si>
    <t>Blackbox</t>
  </si>
  <si>
    <t>Luis Campos</t>
  </si>
  <si>
    <t>64765 - Revisión y ajuste de scripts de entidades y homologación</t>
  </si>
  <si>
    <t>William Mejia</t>
  </si>
  <si>
    <t>01-DataValidationEntitiesAUX</t>
  </si>
  <si>
    <t>02-DataMigrationEntities</t>
  </si>
  <si>
    <t>03-DataMappingGuiasHouse</t>
  </si>
  <si>
    <t>04-DataMappingGuias</t>
  </si>
  <si>
    <t>05-DataMappingGuiasHouseDetalles</t>
  </si>
  <si>
    <t>06-DataMappingAgentesCliente</t>
  </si>
  <si>
    <t>07-DataMappingContactos</t>
  </si>
  <si>
    <t>08-DataMappingOrdenesLocales</t>
  </si>
  <si>
    <t>https://lagcloud.visualstudio.com/AC%20Catalogos/_workitems/edit/64765</t>
  </si>
  <si>
    <t>09-DataMappingCodigosRelacionSistemas.sql</t>
  </si>
  <si>
    <t>10-DataMappingtParametrosCatalogos.sql</t>
  </si>
  <si>
    <t>11-JobDataMappingGuias.sql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</si>
</sst>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rgb="FF000000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0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1" fillId="5" borderId="46" xfId="0" applyFont="1" applyFill="1" applyBorder="1"/>
    <xf numFmtId="0" fontId="1" fillId="6" borderId="43" xfId="0" applyFont="1" applyFill="1" applyBorder="1"/>
    <xf numFmtId="0" fontId="2" fillId="7" borderId="39" xfId="0" applyFont="1" applyFill="1" applyBorder="1" applyAlignment="1">
      <alignment horizontal="center"/>
    </xf>
    <xf numFmtId="0" fontId="0" fillId="7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0" fillId="7" borderId="56" xfId="0" applyFill="1" applyBorder="1" applyAlignment="1">
      <alignment horizontal="center"/>
    </xf>
    <xf numFmtId="0" fontId="1" fillId="2" borderId="5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10" fillId="0" borderId="0" xfId="1" applyFont="1"/>
    <xf numFmtId="0" fontId="6" fillId="0" borderId="0" xfId="1"/>
    <xf numFmtId="0" fontId="0" fillId="11" borderId="0" xfId="0" applyFill="1"/>
    <xf numFmtId="0" fontId="0" fillId="11" borderId="67" xfId="0" applyFill="1" applyBorder="1"/>
    <xf numFmtId="0" fontId="7" fillId="11" borderId="0" xfId="0" applyFont="1" applyFill="1"/>
    <xf numFmtId="0" fontId="2" fillId="11" borderId="68" xfId="0" applyFont="1" applyFill="1" applyBorder="1"/>
    <xf numFmtId="0" fontId="2" fillId="10" borderId="68" xfId="0" applyFont="1" applyFill="1" applyBorder="1"/>
    <xf numFmtId="0" fontId="12" fillId="10" borderId="68" xfId="0" applyFont="1" applyFill="1" applyBorder="1"/>
    <xf numFmtId="0" fontId="12" fillId="11" borderId="68" xfId="0" applyFont="1" applyFill="1" applyBorder="1"/>
    <xf numFmtId="0" fontId="2" fillId="2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7" borderId="38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7" borderId="44" xfId="0" applyFill="1" applyBorder="1" applyAlignment="1">
      <alignment horizontal="center" vertical="top"/>
    </xf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7" borderId="38" xfId="0" applyFill="1" applyBorder="1" applyAlignment="1">
      <alignment horizontal="center" vertical="top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7" borderId="38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10" borderId="68" xfId="1" applyFill="1" applyBorder="1"/>
    <xf numFmtId="0" fontId="16" fillId="12" borderId="39" xfId="0" applyFont="1" applyFill="1" applyBorder="1" applyAlignment="1">
      <alignment horizontal="center"/>
    </xf>
    <xf numFmtId="0" fontId="2" fillId="7" borderId="72" xfId="0" applyFont="1" applyFill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0" fontId="0" fillId="7" borderId="50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70" xfId="0" applyFill="1" applyBorder="1" applyAlignment="1">
      <alignment horizontal="center" vertical="center"/>
    </xf>
    <xf numFmtId="0" fontId="0" fillId="7" borderId="71" xfId="0" applyFill="1" applyBorder="1" applyAlignment="1">
      <alignment horizontal="center" vertical="center"/>
    </xf>
    <xf numFmtId="0" fontId="0" fillId="7" borderId="73" xfId="0" applyFill="1" applyBorder="1" applyAlignment="1">
      <alignment horizontal="center" vertical="center"/>
    </xf>
    <xf numFmtId="0" fontId="0" fillId="7" borderId="53" xfId="0" applyFill="1" applyBorder="1" applyAlignment="1">
      <alignment horizontal="center" vertical="center"/>
    </xf>
    <xf numFmtId="0" fontId="0" fillId="7" borderId="74" xfId="0" applyFill="1" applyBorder="1" applyAlignment="1">
      <alignment horizontal="center" vertical="center"/>
    </xf>
    <xf numFmtId="0" fontId="0" fillId="7" borderId="75" xfId="0" applyFill="1" applyBorder="1" applyAlignment="1">
      <alignment horizontal="center" vertical="center"/>
    </xf>
    <xf numFmtId="0" fontId="0" fillId="7" borderId="76" xfId="0" applyFill="1" applyBorder="1" applyAlignment="1">
      <alignment horizontal="center" vertical="center"/>
    </xf>
    <xf numFmtId="0" fontId="0" fillId="7" borderId="77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wrapText="1"/>
    </xf>
    <xf numFmtId="0" fontId="0" fillId="6" borderId="29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wrapText="1"/>
    </xf>
    <xf numFmtId="0" fontId="0" fillId="5" borderId="16" xfId="0" applyFill="1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14" fontId="0" fillId="5" borderId="10" xfId="0" applyNumberForma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1" fillId="0" borderId="5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6" borderId="59" xfId="0" applyFill="1" applyBorder="1" applyAlignment="1">
      <alignment horizontal="center" vertical="top"/>
    </xf>
    <xf numFmtId="0" fontId="0" fillId="6" borderId="63" xfId="0" applyFill="1" applyBorder="1" applyAlignment="1">
      <alignment horizontal="center" vertical="top"/>
    </xf>
    <xf numFmtId="0" fontId="0" fillId="6" borderId="60" xfId="0" applyFill="1" applyBorder="1" applyAlignment="1">
      <alignment horizontal="center" vertical="top"/>
    </xf>
    <xf numFmtId="0" fontId="0" fillId="6" borderId="38" xfId="0" applyFill="1" applyBorder="1" applyAlignment="1">
      <alignment horizontal="center" vertical="top"/>
    </xf>
    <xf numFmtId="0" fontId="0" fillId="6" borderId="64" xfId="0" applyFill="1" applyBorder="1" applyAlignment="1">
      <alignment horizontal="center" vertical="top"/>
    </xf>
    <xf numFmtId="0" fontId="0" fillId="6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4" xfId="0" applyFont="1" applyBorder="1" applyAlignment="1">
      <alignment horizontal="center"/>
    </xf>
    <xf numFmtId="0" fontId="8" fillId="8" borderId="35" xfId="0" applyFont="1" applyFill="1" applyBorder="1" applyAlignment="1">
      <alignment horizontal="center" vertical="center"/>
    </xf>
    <xf numFmtId="0" fontId="8" fillId="8" borderId="36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6" fillId="9" borderId="50" xfId="1" applyFill="1" applyBorder="1" applyAlignment="1">
      <alignment horizontal="center" vertical="center" wrapText="1"/>
    </xf>
    <xf numFmtId="0" fontId="6" fillId="9" borderId="51" xfId="1" applyFill="1" applyBorder="1" applyAlignment="1">
      <alignment horizontal="center" vertical="center" wrapText="1"/>
    </xf>
    <xf numFmtId="0" fontId="6" fillId="9" borderId="52" xfId="1" applyFill="1" applyBorder="1" applyAlignment="1">
      <alignment horizontal="center" vertical="center" wrapText="1"/>
    </xf>
    <xf numFmtId="0" fontId="6" fillId="9" borderId="53" xfId="1" applyFill="1" applyBorder="1" applyAlignment="1">
      <alignment horizontal="center" vertical="center" wrapText="1"/>
    </xf>
    <xf numFmtId="0" fontId="6" fillId="9" borderId="0" xfId="1" applyFill="1" applyBorder="1" applyAlignment="1">
      <alignment horizontal="center" vertical="center" wrapText="1"/>
    </xf>
    <xf numFmtId="0" fontId="6" fillId="9" borderId="54" xfId="1" applyFill="1" applyBorder="1" applyAlignment="1">
      <alignment horizontal="center" vertical="center" wrapText="1"/>
    </xf>
    <xf numFmtId="0" fontId="8" fillId="8" borderId="58" xfId="0" applyFont="1" applyFill="1" applyBorder="1" applyAlignment="1">
      <alignment horizontal="center" vertical="center"/>
    </xf>
    <xf numFmtId="0" fontId="8" fillId="8" borderId="59" xfId="0" applyFont="1" applyFill="1" applyBorder="1" applyAlignment="1">
      <alignment horizontal="center" vertical="center"/>
    </xf>
    <xf numFmtId="0" fontId="8" fillId="8" borderId="60" xfId="0" applyFont="1" applyFill="1" applyBorder="1" applyAlignment="1">
      <alignment horizontal="center" vertical="center"/>
    </xf>
    <xf numFmtId="0" fontId="8" fillId="8" borderId="41" xfId="0" applyFont="1" applyFill="1" applyBorder="1" applyAlignment="1">
      <alignment horizontal="center" vertical="center"/>
    </xf>
    <xf numFmtId="0" fontId="8" fillId="8" borderId="42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9" fillId="8" borderId="65" xfId="0" applyFont="1" applyFill="1" applyBorder="1" applyAlignment="1">
      <alignment horizontal="center" vertical="center" wrapText="1"/>
    </xf>
    <xf numFmtId="0" fontId="9" fillId="8" borderId="66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9" borderId="3" xfId="0" applyFill="1" applyBorder="1" applyAlignment="1">
      <alignment horizontal="center" wrapText="1"/>
    </xf>
    <xf numFmtId="0" fontId="11" fillId="11" borderId="0" xfId="0" applyFont="1" applyFill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7" borderId="0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1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15" val="9"/>
</file>

<file path=xl/ctrlProps/ctrlProp108.xml><?xml version="1.0" encoding="utf-8"?>
<formControlPr xmlns="http://schemas.microsoft.com/office/spreadsheetml/2009/9/main" objectType="Drop" dropStyle="combo" dx="26" fmlaRange="[1]Hoja4!$A$1:$A$13" noThreeD="1" sel="0" val="0"/>
</file>

<file path=xl/ctrlProps/ctrlProp109.xml><?xml version="1.0" encoding="utf-8"?>
<formControlPr xmlns="http://schemas.microsoft.com/office/spreadsheetml/2009/9/main" objectType="Drop" dropStyle="combo" dx="26" fmlaRange="[1]Hoja4!$A$1:$A$13" noThreeD="1" sel="0" val="0"/>
</file>

<file path=xl/ctrlProps/ctrlProp1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1.xml><?xml version="1.0" encoding="utf-8"?>
<formControlPr xmlns="http://schemas.microsoft.com/office/spreadsheetml/2009/9/main" objectType="Drop" dropStyle="combo" dx="26" fmlaRange="Hoja4!$A$1:$A$18" noThreeD="1" sel="2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2" val="0"/>
</file>

<file path=xl/ctrlProps/ctrlProp114.xml><?xml version="1.0" encoding="utf-8"?>
<formControlPr xmlns="http://schemas.microsoft.com/office/spreadsheetml/2009/9/main" objectType="Drop" dropStyle="combo" dx="26" fmlaRange="Hoja4!$A$1:$A$25" noThreeD="1" sel="2" val="0"/>
</file>

<file path=xl/ctrlProps/ctrlProp115.xml><?xml version="1.0" encoding="utf-8"?>
<formControlPr xmlns="http://schemas.microsoft.com/office/spreadsheetml/2009/9/main" objectType="Drop" dropStyle="combo" dx="26" fmlaRange="Hoja4!$A$1:$A$25" noThreeD="1" sel="2" val="0"/>
</file>

<file path=xl/ctrlProps/ctrlProp116.xml><?xml version="1.0" encoding="utf-8"?>
<formControlPr xmlns="http://schemas.microsoft.com/office/spreadsheetml/2009/9/main" objectType="Drop" dropStyle="combo" dx="26" fmlaRange="Hoja4!$A$1:$A$25" noThreeD="1" sel="2" val="0"/>
</file>

<file path=xl/ctrlProps/ctrlProp117.xml><?xml version="1.0" encoding="utf-8"?>
<formControlPr xmlns="http://schemas.microsoft.com/office/spreadsheetml/2009/9/main" objectType="Drop" dropStyle="combo" dx="26" fmlaRange="Hoja4!$A$1:$A$25" noThreeD="1" sel="2" val="0"/>
</file>

<file path=xl/ctrlProps/ctrlProp118.xml><?xml version="1.0" encoding="utf-8"?>
<formControlPr xmlns="http://schemas.microsoft.com/office/spreadsheetml/2009/9/main" objectType="Drop" dropStyle="combo" dx="26" fmlaRange="Hoja4!$A$1:$A$25" noThreeD="1" sel="2" val="0"/>
</file>

<file path=xl/ctrlProps/ctrlProp119.xml><?xml version="1.0" encoding="utf-8"?>
<formControlPr xmlns="http://schemas.microsoft.com/office/spreadsheetml/2009/9/main" objectType="Drop" dropStyle="combo" dx="26" fmlaRange="Hoja4!$A$1:$A$18" noThreeD="1" sel="2" val="0"/>
</file>

<file path=xl/ctrlProps/ctrlProp120.xml><?xml version="1.0" encoding="utf-8"?>
<formControlPr xmlns="http://schemas.microsoft.com/office/spreadsheetml/2009/9/main" objectType="Drop" dropStyle="combo" dx="26" fmlaRange="Hoja4!$A$1:$A$18" noThreeD="1" sel="2" val="0"/>
</file>

<file path=xl/ctrlProps/ctrlProp121.xml><?xml version="1.0" encoding="utf-8"?>
<formControlPr xmlns="http://schemas.microsoft.com/office/spreadsheetml/2009/9/main" objectType="Drop" dropStyle="combo" dx="26" fmlaRange="Hoja4!$A$1:$A$17" noThreeD="1" sel="17" val="9"/>
</file>

<file path=xl/ctrlProps/ctrlProp122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3" name="Drop Down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0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4" name="Drop Down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0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5" name="Drop Down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0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6" name="Drop Down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0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3562681-3B85-E7EA-D609-5D9117406F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745971ED-0771-2B9D-5C2A-4DC4E38907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9274D1E-A291-48A5-8AC1-92D059853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ogiztikalliance.sharepoint.com/Users/Blad/Documents/Cliente360%20Produccion/Etapa1/Shipments/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2.xml"/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47" Type="http://schemas.openxmlformats.org/officeDocument/2006/relationships/ctrlProp" Target="../ctrlProps/ctrlProp43.xml"/><Relationship Id="rId63" Type="http://schemas.openxmlformats.org/officeDocument/2006/relationships/ctrlProp" Target="../ctrlProps/ctrlProp59.xml"/><Relationship Id="rId68" Type="http://schemas.openxmlformats.org/officeDocument/2006/relationships/ctrlProp" Target="../ctrlProps/ctrlProp64.xml"/><Relationship Id="rId84" Type="http://schemas.openxmlformats.org/officeDocument/2006/relationships/ctrlProp" Target="../ctrlProps/ctrlProp80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Catalogos/_workitems/edit/64765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omments" Target="../comments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2.xml"/><Relationship Id="rId5" Type="http://schemas.openxmlformats.org/officeDocument/2006/relationships/ctrlProp" Target="../ctrlProps/ctrlProp122.xml"/><Relationship Id="rId4" Type="http://schemas.openxmlformats.org/officeDocument/2006/relationships/ctrlProp" Target="../ctrlProps/ctrlProp1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64765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36"/>
  <sheetViews>
    <sheetView tabSelected="1" topLeftCell="A22" zoomScaleNormal="100" workbookViewId="0">
      <selection activeCell="B32" sqref="B32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7" t="s">
        <v>0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9"/>
      <c r="N3" s="91" t="s">
        <v>1</v>
      </c>
      <c r="O3" s="92"/>
    </row>
    <row r="4" spans="1:15" ht="19.5" customHeight="1" x14ac:dyDescent="0.3">
      <c r="A4" s="17" t="s">
        <v>2</v>
      </c>
      <c r="B4" s="104" t="s">
        <v>110</v>
      </c>
      <c r="C4" s="105"/>
      <c r="D4" s="105"/>
      <c r="E4" s="105"/>
      <c r="F4" s="105"/>
      <c r="G4" s="105"/>
      <c r="H4" s="105"/>
      <c r="I4" s="105"/>
      <c r="J4" s="106"/>
      <c r="K4" s="106"/>
      <c r="L4" s="107"/>
      <c r="N4" s="20" t="s">
        <v>3</v>
      </c>
      <c r="O4" s="22"/>
    </row>
    <row r="5" spans="1:15" ht="19.5" customHeight="1" thickBot="1" x14ac:dyDescent="0.35">
      <c r="A5" s="18" t="s">
        <v>4</v>
      </c>
      <c r="B5" s="108" t="s">
        <v>109</v>
      </c>
      <c r="C5" s="108"/>
      <c r="D5" s="108"/>
      <c r="E5" s="108"/>
      <c r="F5" s="108"/>
      <c r="G5" s="108"/>
      <c r="H5" s="108"/>
      <c r="I5" s="108"/>
      <c r="J5" s="109"/>
      <c r="K5" s="109"/>
      <c r="L5" s="110"/>
      <c r="N5" s="14" t="s">
        <v>5</v>
      </c>
      <c r="O5" s="23"/>
    </row>
    <row r="6" spans="1:15" ht="19.5" customHeight="1" x14ac:dyDescent="0.3">
      <c r="A6" s="21" t="s">
        <v>6</v>
      </c>
      <c r="B6" s="94">
        <v>46126</v>
      </c>
      <c r="C6" s="95"/>
      <c r="D6" s="95"/>
      <c r="E6" s="95"/>
      <c r="F6" s="95"/>
      <c r="G6" s="95"/>
      <c r="H6" s="95"/>
      <c r="I6" s="95"/>
      <c r="J6" s="95"/>
      <c r="K6" s="95"/>
      <c r="L6" s="96"/>
      <c r="N6" s="13"/>
      <c r="O6" s="13"/>
    </row>
    <row r="7" spans="1:15" ht="19.5" customHeight="1" thickBot="1" x14ac:dyDescent="0.35">
      <c r="A7" s="19" t="s">
        <v>7</v>
      </c>
      <c r="B7" s="111"/>
      <c r="C7" s="112"/>
      <c r="D7" s="112"/>
      <c r="E7" s="112"/>
      <c r="F7" s="112"/>
      <c r="G7" s="112"/>
      <c r="H7" s="112"/>
      <c r="I7" s="112"/>
      <c r="J7" s="113"/>
      <c r="K7" s="113"/>
      <c r="L7" s="114"/>
    </row>
    <row r="8" spans="1:15" x14ac:dyDescent="0.3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2"/>
    </row>
    <row r="9" spans="1:15" s="5" customFormat="1" ht="19.5" customHeight="1" x14ac:dyDescent="0.3">
      <c r="A9" s="100" t="s">
        <v>8</v>
      </c>
      <c r="B9" s="101"/>
      <c r="C9" s="101"/>
      <c r="D9" s="101"/>
      <c r="E9" s="101"/>
      <c r="F9" s="101"/>
      <c r="G9" s="101"/>
      <c r="H9" s="101"/>
      <c r="I9" s="101"/>
      <c r="J9" s="102"/>
      <c r="K9" s="102"/>
      <c r="L9" s="103"/>
    </row>
    <row r="10" spans="1:15" ht="19.5" customHeight="1" x14ac:dyDescent="0.3">
      <c r="A10" s="2" t="s">
        <v>9</v>
      </c>
      <c r="B10" s="3" t="s">
        <v>10</v>
      </c>
      <c r="C10" s="3" t="s">
        <v>11</v>
      </c>
      <c r="D10" s="3" t="s">
        <v>12</v>
      </c>
      <c r="E10" s="3" t="s">
        <v>13</v>
      </c>
      <c r="F10" s="3" t="s">
        <v>14</v>
      </c>
      <c r="G10" s="3" t="s">
        <v>15</v>
      </c>
      <c r="H10" s="3" t="s">
        <v>16</v>
      </c>
      <c r="I10" s="3" t="s">
        <v>17</v>
      </c>
      <c r="J10" s="33" t="s">
        <v>18</v>
      </c>
      <c r="K10" s="33" t="s">
        <v>19</v>
      </c>
      <c r="L10" s="4" t="s">
        <v>20</v>
      </c>
    </row>
    <row r="11" spans="1:15" ht="19.5" customHeight="1" x14ac:dyDescent="0.3">
      <c r="A11" s="1" t="s">
        <v>21</v>
      </c>
      <c r="B11" s="26"/>
      <c r="C11" s="26"/>
      <c r="D11" s="26"/>
      <c r="E11" s="26"/>
      <c r="F11" s="26"/>
      <c r="G11" s="26"/>
      <c r="H11" s="26"/>
      <c r="I11" s="26"/>
      <c r="J11" s="34"/>
      <c r="K11" s="34"/>
      <c r="L11" s="27"/>
    </row>
    <row r="12" spans="1:15" ht="19.5" customHeight="1" x14ac:dyDescent="0.3">
      <c r="A12" s="1" t="s">
        <v>22</v>
      </c>
      <c r="B12" s="26"/>
      <c r="C12" s="26"/>
      <c r="D12" s="26"/>
      <c r="E12" s="26"/>
      <c r="F12" s="26"/>
      <c r="G12" s="26"/>
      <c r="H12" s="26"/>
      <c r="I12" s="26"/>
      <c r="J12" s="34"/>
      <c r="K12" s="34"/>
      <c r="L12" s="27"/>
    </row>
    <row r="13" spans="1:15" ht="19.5" customHeight="1" x14ac:dyDescent="0.3">
      <c r="A13" s="8" t="s">
        <v>23</v>
      </c>
      <c r="B13" s="28"/>
      <c r="C13" s="28"/>
      <c r="D13" s="28"/>
      <c r="E13" s="28"/>
      <c r="F13" s="28"/>
      <c r="G13" s="28"/>
      <c r="H13" s="28"/>
      <c r="I13" s="28"/>
      <c r="J13" s="35"/>
      <c r="K13" s="35"/>
      <c r="L13" s="29"/>
    </row>
    <row r="14" spans="1:15" ht="30" customHeight="1" x14ac:dyDescent="0.3">
      <c r="A14" s="8" t="s">
        <v>24</v>
      </c>
      <c r="B14" s="93"/>
      <c r="C14" s="89"/>
      <c r="D14" s="89"/>
      <c r="E14" s="89"/>
      <c r="F14" s="89"/>
      <c r="G14" s="89"/>
      <c r="H14" s="89"/>
      <c r="I14" s="89"/>
      <c r="J14" s="89"/>
      <c r="K14" s="89"/>
      <c r="L14" s="90"/>
    </row>
    <row r="15" spans="1:15" ht="30" customHeight="1" x14ac:dyDescent="0.3">
      <c r="A15" s="9" t="s">
        <v>25</v>
      </c>
      <c r="B15" s="88"/>
      <c r="C15" s="89"/>
      <c r="D15" s="89"/>
      <c r="E15" s="89"/>
      <c r="F15" s="89"/>
      <c r="G15" s="89"/>
      <c r="H15" s="89"/>
      <c r="I15" s="89"/>
      <c r="J15" s="89"/>
      <c r="K15" s="89"/>
      <c r="L15" s="90"/>
    </row>
    <row r="16" spans="1:15" x14ac:dyDescent="0.3">
      <c r="A16" s="81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3"/>
    </row>
    <row r="17" spans="1:13" s="5" customFormat="1" ht="19.5" customHeight="1" thickBot="1" x14ac:dyDescent="0.35">
      <c r="A17" s="84" t="s">
        <v>26</v>
      </c>
      <c r="B17" s="85"/>
      <c r="C17" s="85"/>
      <c r="D17" s="85"/>
      <c r="E17" s="85"/>
      <c r="F17" s="85"/>
      <c r="G17" s="85"/>
      <c r="H17" s="85"/>
      <c r="I17" s="85"/>
      <c r="J17" s="86"/>
      <c r="K17" s="86"/>
      <c r="L17" s="87"/>
    </row>
    <row r="18" spans="1:13" ht="19.5" customHeight="1" x14ac:dyDescent="0.3">
      <c r="A18" s="47" t="s">
        <v>27</v>
      </c>
      <c r="B18" s="6" t="s">
        <v>28</v>
      </c>
      <c r="C18" s="31" t="s">
        <v>29</v>
      </c>
      <c r="D18" s="115" t="s">
        <v>30</v>
      </c>
      <c r="E18" s="117"/>
      <c r="F18" s="117"/>
      <c r="G18" s="117"/>
      <c r="H18" s="117"/>
      <c r="I18" s="117"/>
      <c r="J18" s="118"/>
      <c r="K18" s="118"/>
      <c r="L18" s="119"/>
    </row>
    <row r="19" spans="1:13" ht="19.5" customHeight="1" x14ac:dyDescent="0.3">
      <c r="A19" s="7" t="s">
        <v>31</v>
      </c>
      <c r="B19" s="30"/>
      <c r="C19" s="32" t="s">
        <v>32</v>
      </c>
      <c r="D19" s="116"/>
      <c r="E19" s="120"/>
      <c r="F19" s="120"/>
      <c r="G19" s="120"/>
      <c r="H19" s="120"/>
      <c r="I19" s="120"/>
      <c r="J19" s="121"/>
      <c r="K19" s="121"/>
      <c r="L19" s="122"/>
    </row>
    <row r="20" spans="1:13" ht="19.5" customHeight="1" x14ac:dyDescent="0.3">
      <c r="A20" s="7" t="s">
        <v>33</v>
      </c>
      <c r="B20" s="30" t="s">
        <v>32</v>
      </c>
      <c r="C20" s="32"/>
      <c r="D20" s="116"/>
      <c r="E20" s="120"/>
      <c r="F20" s="120"/>
      <c r="G20" s="120"/>
      <c r="H20" s="120"/>
      <c r="I20" s="120"/>
      <c r="J20" s="121"/>
      <c r="K20" s="121"/>
      <c r="L20" s="122"/>
    </row>
    <row r="21" spans="1:13" ht="19.5" customHeight="1" x14ac:dyDescent="0.3">
      <c r="A21" s="7" t="s">
        <v>34</v>
      </c>
      <c r="B21" s="30"/>
      <c r="C21" s="32" t="s">
        <v>32</v>
      </c>
      <c r="D21" s="69" t="s">
        <v>26</v>
      </c>
      <c r="E21" s="71" t="s">
        <v>106</v>
      </c>
      <c r="F21" s="72"/>
      <c r="G21" s="72"/>
      <c r="H21" s="72"/>
      <c r="I21" s="72"/>
      <c r="J21" s="72"/>
      <c r="K21" s="72"/>
      <c r="L21" s="72"/>
      <c r="M21" s="72"/>
    </row>
    <row r="22" spans="1:13" ht="19.5" customHeight="1" thickBot="1" x14ac:dyDescent="0.35">
      <c r="A22" s="7" t="s">
        <v>35</v>
      </c>
      <c r="B22" s="30"/>
      <c r="C22" s="32" t="s">
        <v>32</v>
      </c>
      <c r="D22" s="70"/>
      <c r="E22" s="73"/>
      <c r="F22" s="74"/>
      <c r="G22" s="74"/>
      <c r="H22" s="74"/>
      <c r="I22" s="74"/>
      <c r="J22" s="74"/>
      <c r="K22" s="74"/>
      <c r="L22" s="74"/>
      <c r="M22" s="74"/>
    </row>
    <row r="23" spans="1:13" ht="19.5" customHeight="1" thickBot="1" x14ac:dyDescent="0.35">
      <c r="A23" s="124"/>
      <c r="B23" s="125"/>
      <c r="C23" s="125"/>
      <c r="D23" s="126"/>
      <c r="E23" s="126"/>
      <c r="F23" s="126"/>
      <c r="G23" s="126"/>
      <c r="H23" s="126"/>
      <c r="I23" s="126"/>
      <c r="J23" s="126"/>
      <c r="K23" s="126"/>
      <c r="L23" s="127"/>
    </row>
    <row r="24" spans="1:13" ht="18.600000000000001" thickBot="1" x14ac:dyDescent="0.4">
      <c r="A24" s="66" t="s">
        <v>36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8"/>
    </row>
    <row r="25" spans="1:13" ht="15.6" x14ac:dyDescent="0.3">
      <c r="A25" s="15" t="s">
        <v>37</v>
      </c>
      <c r="B25" s="16" t="s">
        <v>38</v>
      </c>
      <c r="C25" s="16" t="s">
        <v>39</v>
      </c>
      <c r="D25" s="123" t="s">
        <v>40</v>
      </c>
      <c r="E25" s="123"/>
      <c r="F25" s="123"/>
      <c r="G25" s="123"/>
      <c r="H25" s="123"/>
      <c r="I25" s="123"/>
      <c r="J25" s="123"/>
      <c r="K25" s="123"/>
      <c r="L25" s="123"/>
    </row>
    <row r="26" spans="1:13" ht="18.899999999999999" customHeight="1" x14ac:dyDescent="0.3">
      <c r="A26" s="64">
        <v>1</v>
      </c>
      <c r="B26" s="25" t="s">
        <v>112</v>
      </c>
      <c r="C26" s="25"/>
      <c r="D26" s="71" t="s">
        <v>120</v>
      </c>
      <c r="E26" s="72"/>
      <c r="F26" s="72"/>
      <c r="G26" s="72"/>
      <c r="H26" s="72"/>
      <c r="I26" s="72"/>
      <c r="J26" s="72"/>
      <c r="K26" s="72"/>
      <c r="L26" s="75"/>
    </row>
    <row r="27" spans="1:13" ht="18.899999999999999" customHeight="1" x14ac:dyDescent="0.3">
      <c r="A27" s="64">
        <v>2</v>
      </c>
      <c r="B27" s="25" t="s">
        <v>113</v>
      </c>
      <c r="C27" s="25"/>
      <c r="D27" s="76"/>
      <c r="E27" s="159"/>
      <c r="F27" s="159"/>
      <c r="G27" s="159"/>
      <c r="H27" s="159"/>
      <c r="I27" s="159"/>
      <c r="J27" s="159"/>
      <c r="K27" s="159"/>
      <c r="L27" s="77"/>
    </row>
    <row r="28" spans="1:13" ht="18.899999999999999" customHeight="1" x14ac:dyDescent="0.3">
      <c r="A28" s="24">
        <v>3</v>
      </c>
      <c r="B28" s="25" t="s">
        <v>114</v>
      </c>
      <c r="C28" s="25"/>
      <c r="D28" s="76"/>
      <c r="E28" s="159"/>
      <c r="F28" s="159"/>
      <c r="G28" s="159"/>
      <c r="H28" s="159"/>
      <c r="I28" s="159"/>
      <c r="J28" s="159"/>
      <c r="K28" s="159"/>
      <c r="L28" s="77"/>
    </row>
    <row r="29" spans="1:13" ht="18.899999999999999" customHeight="1" x14ac:dyDescent="0.3">
      <c r="A29" s="24">
        <v>4</v>
      </c>
      <c r="B29" s="25" t="s">
        <v>115</v>
      </c>
      <c r="C29" s="25"/>
      <c r="D29" s="76"/>
      <c r="E29" s="159"/>
      <c r="F29" s="159"/>
      <c r="G29" s="159"/>
      <c r="H29" s="159"/>
      <c r="I29" s="159"/>
      <c r="J29" s="159"/>
      <c r="K29" s="159"/>
      <c r="L29" s="77"/>
    </row>
    <row r="30" spans="1:13" ht="18.899999999999999" customHeight="1" x14ac:dyDescent="0.3">
      <c r="A30" s="24">
        <v>5</v>
      </c>
      <c r="B30" s="25" t="s">
        <v>116</v>
      </c>
      <c r="C30" s="25"/>
      <c r="D30" s="76"/>
      <c r="E30" s="159"/>
      <c r="F30" s="159"/>
      <c r="G30" s="159"/>
      <c r="H30" s="159"/>
      <c r="I30" s="159"/>
      <c r="J30" s="159"/>
      <c r="K30" s="159"/>
      <c r="L30" s="77"/>
    </row>
    <row r="31" spans="1:13" ht="18.899999999999999" customHeight="1" x14ac:dyDescent="0.3">
      <c r="A31" s="24">
        <v>6</v>
      </c>
      <c r="B31" s="25" t="s">
        <v>117</v>
      </c>
      <c r="C31" s="25"/>
      <c r="D31" s="76"/>
      <c r="E31" s="159"/>
      <c r="F31" s="159"/>
      <c r="G31" s="159"/>
      <c r="H31" s="159"/>
      <c r="I31" s="159"/>
      <c r="J31" s="159"/>
      <c r="K31" s="159"/>
      <c r="L31" s="77"/>
    </row>
    <row r="32" spans="1:13" ht="18.899999999999999" customHeight="1" x14ac:dyDescent="0.3">
      <c r="A32" s="24">
        <v>7</v>
      </c>
      <c r="B32" s="25" t="s">
        <v>118</v>
      </c>
      <c r="C32" s="25"/>
      <c r="D32" s="76"/>
      <c r="E32" s="159"/>
      <c r="F32" s="159"/>
      <c r="G32" s="159"/>
      <c r="H32" s="159"/>
      <c r="I32" s="159"/>
      <c r="J32" s="159"/>
      <c r="K32" s="159"/>
      <c r="L32" s="77"/>
    </row>
    <row r="33" spans="1:12" ht="18.899999999999999" customHeight="1" x14ac:dyDescent="0.3">
      <c r="A33" s="24">
        <v>8</v>
      </c>
      <c r="B33" s="25" t="s">
        <v>119</v>
      </c>
      <c r="C33" s="25"/>
      <c r="D33" s="76"/>
      <c r="E33" s="159"/>
      <c r="F33" s="159"/>
      <c r="G33" s="159"/>
      <c r="H33" s="159"/>
      <c r="I33" s="159"/>
      <c r="J33" s="159"/>
      <c r="K33" s="159"/>
      <c r="L33" s="77"/>
    </row>
    <row r="34" spans="1:12" x14ac:dyDescent="0.3">
      <c r="A34" s="65">
        <v>9</v>
      </c>
      <c r="B34" s="25" t="s">
        <v>121</v>
      </c>
      <c r="C34" s="25"/>
      <c r="D34" s="76"/>
      <c r="E34" s="159"/>
      <c r="F34" s="159"/>
      <c r="G34" s="159"/>
      <c r="H34" s="159"/>
      <c r="I34" s="159"/>
      <c r="J34" s="159"/>
      <c r="K34" s="159"/>
      <c r="L34" s="77"/>
    </row>
    <row r="35" spans="1:12" ht="20.399999999999999" customHeight="1" x14ac:dyDescent="0.3">
      <c r="A35" s="24">
        <v>10</v>
      </c>
      <c r="B35" s="25" t="s">
        <v>122</v>
      </c>
      <c r="C35" s="25"/>
      <c r="D35" s="76"/>
      <c r="E35" s="159"/>
      <c r="F35" s="159"/>
      <c r="G35" s="159"/>
      <c r="H35" s="159"/>
      <c r="I35" s="159"/>
      <c r="J35" s="159"/>
      <c r="K35" s="159"/>
      <c r="L35" s="77"/>
    </row>
    <row r="36" spans="1:12" ht="18" customHeight="1" x14ac:dyDescent="0.3">
      <c r="A36" s="65">
        <v>11</v>
      </c>
      <c r="B36" s="25" t="s">
        <v>123</v>
      </c>
      <c r="C36" s="25"/>
      <c r="D36" s="78"/>
      <c r="E36" s="79"/>
      <c r="F36" s="79"/>
      <c r="G36" s="79"/>
      <c r="H36" s="79"/>
      <c r="I36" s="79"/>
      <c r="J36" s="79"/>
      <c r="K36" s="79"/>
      <c r="L36" s="80"/>
    </row>
  </sheetData>
  <mergeCells count="19"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A24:L24"/>
    <mergeCell ref="D21:D22"/>
    <mergeCell ref="E21:M22"/>
    <mergeCell ref="A16:L16"/>
    <mergeCell ref="A17:L17"/>
    <mergeCell ref="D18:D20"/>
    <mergeCell ref="E18:L20"/>
    <mergeCell ref="D25:L25"/>
    <mergeCell ref="A23:L23"/>
    <mergeCell ref="D26:L36"/>
  </mergeCells>
  <hyperlinks>
    <hyperlink ref="D26" r:id="rId1" xr:uid="{066995C9-04C2-4C67-9A74-29047F42F14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2" name="Drop Down 1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3" name="Drop Down 1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4" name="Drop Down 1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5" name="Drop Down 1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16" name="Drop Down 199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17" name="Drop Down 200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18" name="Drop Down 202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19" name="Drop Down 203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20" name="Drop Down 204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23" name="Drop Down 21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24" name="Drop Down 2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8" sqref="B8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</cols>
  <sheetData>
    <row r="1" spans="1:12" ht="23.4" x14ac:dyDescent="0.3">
      <c r="A1" s="137" t="s">
        <v>41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9"/>
    </row>
    <row r="2" spans="1:12" ht="24" thickBot="1" x14ac:dyDescent="0.35">
      <c r="A2" s="140" t="s">
        <v>42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2"/>
    </row>
    <row r="3" spans="1:12" ht="15" thickBot="1" x14ac:dyDescent="0.35">
      <c r="A3" s="143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5"/>
    </row>
    <row r="4" spans="1:12" ht="15.6" x14ac:dyDescent="0.3">
      <c r="A4" s="2"/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3" t="s">
        <v>18</v>
      </c>
      <c r="K4" s="33" t="s">
        <v>19</v>
      </c>
      <c r="L4" s="4" t="s">
        <v>20</v>
      </c>
    </row>
    <row r="5" spans="1:12" x14ac:dyDescent="0.3">
      <c r="A5" s="1" t="s">
        <v>21</v>
      </c>
      <c r="B5" s="26"/>
      <c r="C5" s="26"/>
      <c r="D5" s="26"/>
      <c r="E5" s="26"/>
      <c r="F5" s="26"/>
      <c r="G5" s="26"/>
      <c r="H5" s="26"/>
      <c r="I5" s="26"/>
      <c r="J5" s="34"/>
      <c r="K5" s="34"/>
      <c r="L5" s="27"/>
    </row>
    <row r="6" spans="1:12" x14ac:dyDescent="0.3">
      <c r="A6" s="8" t="s">
        <v>22</v>
      </c>
      <c r="B6" s="28"/>
      <c r="C6" s="28"/>
      <c r="D6" s="28"/>
      <c r="E6" s="28"/>
      <c r="F6" s="28"/>
      <c r="G6" s="28"/>
      <c r="H6" s="28"/>
      <c r="I6" s="28"/>
      <c r="J6" s="35"/>
      <c r="K6" s="35"/>
      <c r="L6" s="29"/>
    </row>
    <row r="7" spans="1:12" x14ac:dyDescent="0.3">
      <c r="A7" s="8" t="s">
        <v>23</v>
      </c>
      <c r="B7" s="28"/>
      <c r="C7" s="28"/>
      <c r="D7" s="28"/>
      <c r="E7" s="28"/>
      <c r="F7" s="28"/>
      <c r="G7" s="28"/>
      <c r="H7" s="28"/>
      <c r="I7" s="28"/>
      <c r="J7" s="35"/>
      <c r="K7" s="35"/>
      <c r="L7" s="29"/>
    </row>
    <row r="8" spans="1:12" ht="31.5" customHeight="1" x14ac:dyDescent="0.3">
      <c r="A8" s="8" t="s">
        <v>24</v>
      </c>
      <c r="B8" s="148"/>
      <c r="C8" s="149"/>
      <c r="D8" s="149"/>
      <c r="E8" s="149"/>
      <c r="F8" s="149"/>
      <c r="G8" s="149"/>
      <c r="H8" s="149"/>
      <c r="I8" s="149"/>
      <c r="J8" s="149"/>
      <c r="K8" s="149"/>
      <c r="L8" s="150"/>
    </row>
    <row r="9" spans="1:12" ht="32.25" customHeight="1" x14ac:dyDescent="0.3">
      <c r="A9" s="9" t="s">
        <v>25</v>
      </c>
      <c r="B9" s="151"/>
      <c r="C9" s="149"/>
      <c r="D9" s="149"/>
      <c r="E9" s="149"/>
      <c r="F9" s="149"/>
      <c r="G9" s="149"/>
      <c r="H9" s="149"/>
      <c r="I9" s="149"/>
      <c r="J9" s="149"/>
      <c r="K9" s="149"/>
      <c r="L9" s="150"/>
    </row>
    <row r="10" spans="1:12" ht="30.75" customHeight="1" thickBot="1" x14ac:dyDescent="0.35">
      <c r="A10" s="146" t="s">
        <v>43</v>
      </c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</row>
    <row r="11" spans="1:12" ht="24" thickBot="1" x14ac:dyDescent="0.35">
      <c r="A11" s="128" t="s">
        <v>36</v>
      </c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30"/>
    </row>
    <row r="12" spans="1:12" ht="15.6" x14ac:dyDescent="0.3">
      <c r="A12" s="15" t="s">
        <v>37</v>
      </c>
      <c r="B12" s="16" t="s">
        <v>38</v>
      </c>
      <c r="C12" s="16" t="s">
        <v>39</v>
      </c>
      <c r="D12" s="123" t="s">
        <v>40</v>
      </c>
      <c r="E12" s="123"/>
      <c r="F12" s="123"/>
      <c r="G12" s="123"/>
      <c r="H12" s="123"/>
      <c r="I12" s="123"/>
      <c r="J12" s="123"/>
      <c r="K12" s="123"/>
      <c r="L12" s="123"/>
    </row>
    <row r="13" spans="1:12" x14ac:dyDescent="0.3">
      <c r="A13" s="36"/>
      <c r="B13" s="37"/>
      <c r="C13" s="37"/>
      <c r="D13" s="131"/>
      <c r="E13" s="132"/>
      <c r="F13" s="132"/>
      <c r="G13" s="132"/>
      <c r="H13" s="132"/>
      <c r="I13" s="132"/>
      <c r="J13" s="132"/>
      <c r="K13" s="132"/>
      <c r="L13" s="133"/>
    </row>
    <row r="14" spans="1:12" x14ac:dyDescent="0.3">
      <c r="A14" s="36"/>
      <c r="B14" s="37"/>
      <c r="C14" s="37"/>
      <c r="D14" s="134"/>
      <c r="E14" s="135"/>
      <c r="F14" s="135"/>
      <c r="G14" s="135"/>
      <c r="H14" s="135"/>
      <c r="I14" s="135"/>
      <c r="J14" s="135"/>
      <c r="K14" s="135"/>
      <c r="L14" s="136"/>
    </row>
    <row r="15" spans="1:12" x14ac:dyDescent="0.3">
      <c r="A15" s="36"/>
      <c r="B15" s="37"/>
      <c r="C15" s="37"/>
      <c r="D15" s="134"/>
      <c r="E15" s="135"/>
      <c r="F15" s="135"/>
      <c r="G15" s="135"/>
      <c r="H15" s="135"/>
      <c r="I15" s="135"/>
      <c r="J15" s="135"/>
      <c r="K15" s="135"/>
      <c r="L15" s="136"/>
    </row>
    <row r="16" spans="1:12" x14ac:dyDescent="0.3">
      <c r="A16" s="36"/>
      <c r="B16" s="37"/>
      <c r="C16" s="37"/>
      <c r="D16" s="134"/>
      <c r="E16" s="135"/>
      <c r="F16" s="135"/>
      <c r="G16" s="135"/>
      <c r="H16" s="135"/>
      <c r="I16" s="135"/>
      <c r="J16" s="135"/>
      <c r="K16" s="135"/>
      <c r="L16" s="136"/>
    </row>
    <row r="17" spans="1:12" x14ac:dyDescent="0.3">
      <c r="A17" s="36"/>
      <c r="B17" s="37"/>
      <c r="C17" s="37"/>
      <c r="D17" s="134"/>
      <c r="E17" s="135"/>
      <c r="F17" s="135"/>
      <c r="G17" s="135"/>
      <c r="H17" s="135"/>
      <c r="I17" s="135"/>
      <c r="J17" s="135"/>
      <c r="K17" s="135"/>
      <c r="L17" s="136"/>
    </row>
    <row r="18" spans="1:12" x14ac:dyDescent="0.3">
      <c r="A18" s="36"/>
      <c r="B18" s="37"/>
      <c r="C18" s="37"/>
      <c r="D18" s="134"/>
      <c r="E18" s="135"/>
      <c r="F18" s="135"/>
      <c r="G18" s="135"/>
      <c r="H18" s="135"/>
      <c r="I18" s="135"/>
      <c r="J18" s="135"/>
      <c r="K18" s="135"/>
      <c r="L18" s="136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40" customWidth="1"/>
    <col min="2" max="2" width="128.109375" style="40" customWidth="1"/>
    <col min="3" max="16384" width="11.44140625" style="40"/>
  </cols>
  <sheetData>
    <row r="4" spans="1:12" x14ac:dyDescent="0.3">
      <c r="A4" s="41"/>
      <c r="B4" s="41"/>
    </row>
    <row r="6" spans="1:12" ht="18" x14ac:dyDescent="0.35">
      <c r="A6" s="152" t="s">
        <v>44</v>
      </c>
      <c r="B6" s="152"/>
    </row>
    <row r="8" spans="1:12" ht="20.100000000000001" customHeight="1" x14ac:dyDescent="0.3">
      <c r="A8" s="44" t="s">
        <v>2</v>
      </c>
      <c r="B8" s="45" t="str" cm="1">
        <f t="array" ref="B8:L8">'Guia de implementación'!B4:L4</f>
        <v>64765 - Revisión y ajuste de scripts de entidades y homologación</v>
      </c>
      <c r="C8" s="40">
        <v>0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</row>
    <row r="9" spans="1:12" ht="20.100000000000001" customHeight="1" thickTop="1" thickBot="1" x14ac:dyDescent="0.35">
      <c r="A9" s="43" t="s">
        <v>45</v>
      </c>
      <c r="B9" s="46" t="str" cm="1">
        <f t="array" ref="B9:L9">'Guia de implementación'!B5:L5</f>
        <v>Luis Campos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</row>
    <row r="10" spans="1:12" ht="20.100000000000001" customHeight="1" thickTop="1" thickBot="1" x14ac:dyDescent="0.35">
      <c r="A10" s="44" t="s">
        <v>46</v>
      </c>
      <c r="B10" s="45" t="s">
        <v>107</v>
      </c>
    </row>
    <row r="11" spans="1:12" ht="20.100000000000001" customHeight="1" thickTop="1" thickBot="1" x14ac:dyDescent="0.35">
      <c r="A11" s="43" t="s">
        <v>47</v>
      </c>
      <c r="B11" s="46" t="s">
        <v>111</v>
      </c>
    </row>
    <row r="12" spans="1:12" ht="20.100000000000001" customHeight="1" thickTop="1" thickBot="1" x14ac:dyDescent="0.35">
      <c r="A12" s="44" t="s">
        <v>48</v>
      </c>
      <c r="B12" s="45" t="s">
        <v>28</v>
      </c>
    </row>
    <row r="13" spans="1:12" ht="20.100000000000001" customHeight="1" thickTop="1" thickBot="1" x14ac:dyDescent="0.35">
      <c r="A13" s="43" t="s">
        <v>49</v>
      </c>
      <c r="B13" s="46" t="s">
        <v>108</v>
      </c>
    </row>
    <row r="14" spans="1:12" ht="20.100000000000001" customHeight="1" thickTop="1" thickBot="1" x14ac:dyDescent="0.35">
      <c r="A14" s="44" t="s">
        <v>50</v>
      </c>
      <c r="B14" s="63" t="s">
        <v>120</v>
      </c>
    </row>
    <row r="23" spans="2:2" x14ac:dyDescent="0.3">
      <c r="B23" s="42"/>
    </row>
  </sheetData>
  <mergeCells count="1">
    <mergeCell ref="A6:B6"/>
  </mergeCells>
  <hyperlinks>
    <hyperlink ref="B14" r:id="rId1" xr:uid="{9C9E7B2D-1B88-4395-AB88-FD001722B7C3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topLeftCell="A11" workbookViewId="0">
      <selection activeCell="F18" sqref="F18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4"/>
      <c r="C2" s="154"/>
      <c r="D2" s="155" t="s">
        <v>76</v>
      </c>
      <c r="E2" s="156" t="s">
        <v>77</v>
      </c>
      <c r="F2" s="156"/>
    </row>
    <row r="3" spans="2:6" x14ac:dyDescent="0.3">
      <c r="B3" s="154"/>
      <c r="C3" s="154"/>
      <c r="D3" s="155"/>
      <c r="E3" s="156"/>
      <c r="F3" s="156"/>
    </row>
    <row r="4" spans="2:6" x14ac:dyDescent="0.3">
      <c r="B4" s="154"/>
      <c r="C4" s="154"/>
      <c r="D4" s="155"/>
      <c r="E4" s="156" t="s">
        <v>78</v>
      </c>
      <c r="F4" s="156"/>
    </row>
    <row r="5" spans="2:6" x14ac:dyDescent="0.3">
      <c r="B5" s="157" t="s">
        <v>79</v>
      </c>
      <c r="C5" s="157"/>
      <c r="D5" s="48" t="s">
        <v>80</v>
      </c>
      <c r="E5" s="158" t="s">
        <v>81</v>
      </c>
      <c r="F5" s="158"/>
    </row>
    <row r="6" spans="2:6" x14ac:dyDescent="0.3">
      <c r="B6" s="49" t="s">
        <v>82</v>
      </c>
      <c r="C6" s="153"/>
      <c r="D6" s="153"/>
      <c r="E6" s="153"/>
      <c r="F6" s="153"/>
    </row>
    <row r="7" spans="2:6" x14ac:dyDescent="0.3">
      <c r="B7" s="50" t="s">
        <v>83</v>
      </c>
      <c r="C7" s="50" t="s">
        <v>84</v>
      </c>
      <c r="D7" s="50" t="s">
        <v>85</v>
      </c>
      <c r="E7" s="50" t="s">
        <v>86</v>
      </c>
      <c r="F7" s="50" t="s">
        <v>87</v>
      </c>
    </row>
    <row r="8" spans="2:6" ht="28.8" x14ac:dyDescent="0.3">
      <c r="B8" s="51">
        <v>1</v>
      </c>
      <c r="C8" s="51" t="s">
        <v>88</v>
      </c>
      <c r="D8" s="52" t="s">
        <v>89</v>
      </c>
      <c r="E8" s="53" t="s">
        <v>90</v>
      </c>
      <c r="F8" s="53" t="s">
        <v>90</v>
      </c>
    </row>
    <row r="9" spans="2:6" ht="28.8" x14ac:dyDescent="0.3">
      <c r="B9" s="51">
        <v>2</v>
      </c>
      <c r="C9" s="51" t="s">
        <v>88</v>
      </c>
      <c r="D9" s="52" t="s">
        <v>91</v>
      </c>
      <c r="E9" s="53" t="s">
        <v>90</v>
      </c>
      <c r="F9" s="53" t="s">
        <v>90</v>
      </c>
    </row>
    <row r="10" spans="2:6" x14ac:dyDescent="0.3">
      <c r="B10" s="51">
        <v>3</v>
      </c>
      <c r="C10" s="54" t="s">
        <v>88</v>
      </c>
      <c r="D10" s="55" t="s">
        <v>92</v>
      </c>
      <c r="E10" s="56" t="s">
        <v>90</v>
      </c>
      <c r="F10" s="56" t="s">
        <v>90</v>
      </c>
    </row>
    <row r="11" spans="2:6" ht="43.2" x14ac:dyDescent="0.3">
      <c r="B11" s="51">
        <v>4</v>
      </c>
      <c r="C11" s="54" t="s">
        <v>93</v>
      </c>
      <c r="D11" s="57" t="s">
        <v>94</v>
      </c>
      <c r="E11" s="56" t="s">
        <v>90</v>
      </c>
      <c r="F11" s="56" t="s">
        <v>90</v>
      </c>
    </row>
    <row r="12" spans="2:6" x14ac:dyDescent="0.3">
      <c r="B12" s="51">
        <v>5</v>
      </c>
      <c r="C12" s="54" t="s">
        <v>88</v>
      </c>
      <c r="D12" s="57" t="s">
        <v>95</v>
      </c>
      <c r="E12" s="56" t="s">
        <v>90</v>
      </c>
      <c r="F12" s="56" t="s">
        <v>90</v>
      </c>
    </row>
    <row r="13" spans="2:6" x14ac:dyDescent="0.3">
      <c r="B13" s="51">
        <v>6</v>
      </c>
      <c r="C13" s="54" t="s">
        <v>96</v>
      </c>
      <c r="D13" s="57" t="s">
        <v>97</v>
      </c>
      <c r="E13" s="56" t="s">
        <v>90</v>
      </c>
      <c r="F13" s="56" t="s">
        <v>90</v>
      </c>
    </row>
    <row r="14" spans="2:6" ht="57.6" x14ac:dyDescent="0.3">
      <c r="B14" s="51">
        <v>8</v>
      </c>
      <c r="C14" s="54" t="s">
        <v>88</v>
      </c>
      <c r="D14" s="57" t="s">
        <v>98</v>
      </c>
      <c r="E14" s="56" t="s">
        <v>90</v>
      </c>
      <c r="F14" s="56" t="s">
        <v>90</v>
      </c>
    </row>
    <row r="15" spans="2:6" ht="28.8" x14ac:dyDescent="0.3">
      <c r="B15" s="51">
        <v>7</v>
      </c>
      <c r="C15" s="54" t="s">
        <v>88</v>
      </c>
      <c r="D15" s="57" t="s">
        <v>99</v>
      </c>
      <c r="E15" s="56" t="s">
        <v>90</v>
      </c>
      <c r="F15" s="56" t="s">
        <v>90</v>
      </c>
    </row>
    <row r="16" spans="2:6" x14ac:dyDescent="0.3">
      <c r="B16" s="51">
        <v>9</v>
      </c>
      <c r="C16" s="54" t="s">
        <v>88</v>
      </c>
      <c r="D16" s="57" t="s">
        <v>100</v>
      </c>
      <c r="E16" s="56" t="s">
        <v>90</v>
      </c>
      <c r="F16" s="56" t="s">
        <v>90</v>
      </c>
    </row>
    <row r="17" spans="2:6" x14ac:dyDescent="0.3">
      <c r="B17" s="51">
        <v>10</v>
      </c>
      <c r="C17" s="54" t="s">
        <v>88</v>
      </c>
      <c r="D17" s="57" t="s">
        <v>101</v>
      </c>
      <c r="E17" s="56" t="s">
        <v>90</v>
      </c>
      <c r="F17" s="56" t="s">
        <v>90</v>
      </c>
    </row>
    <row r="18" spans="2:6" ht="177.6" x14ac:dyDescent="0.3">
      <c r="B18" s="51">
        <v>11</v>
      </c>
      <c r="C18" s="54" t="s">
        <v>88</v>
      </c>
      <c r="D18" s="57" t="s">
        <v>102</v>
      </c>
      <c r="E18" s="56" t="s">
        <v>90</v>
      </c>
      <c r="F18" s="56" t="s">
        <v>90</v>
      </c>
    </row>
    <row r="19" spans="2:6" ht="43.2" x14ac:dyDescent="0.3">
      <c r="B19" s="51">
        <v>12</v>
      </c>
      <c r="C19" s="54" t="s">
        <v>96</v>
      </c>
      <c r="D19" s="57" t="s">
        <v>103</v>
      </c>
      <c r="E19" s="56" t="s">
        <v>90</v>
      </c>
      <c r="F19" s="56" t="s">
        <v>90</v>
      </c>
    </row>
    <row r="20" spans="2:6" x14ac:dyDescent="0.3">
      <c r="B20" s="58"/>
      <c r="C20" s="58"/>
      <c r="D20" s="59"/>
      <c r="E20" s="60"/>
      <c r="F20" s="60"/>
    </row>
    <row r="21" spans="2:6" x14ac:dyDescent="0.3">
      <c r="B21" s="61"/>
      <c r="C21" s="61"/>
      <c r="D21" s="62"/>
      <c r="E21" s="61"/>
      <c r="F21" s="61"/>
    </row>
    <row r="22" spans="2:6" x14ac:dyDescent="0.3">
      <c r="B22" t="s">
        <v>104</v>
      </c>
    </row>
    <row r="23" spans="2:6" x14ac:dyDescent="0.3">
      <c r="B23" s="38" t="s">
        <v>105</v>
      </c>
      <c r="C23" s="3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D8CE9F94-EA02-4D53-8767-76DA42A1256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showWhiteSpace="0" view="pageBreakPreview" zoomScale="60" zoomScaleNormal="100" workbookViewId="0">
      <selection activeCell="E22" sqref="E22"/>
    </sheetView>
  </sheetViews>
  <sheetFormatPr baseColWidth="10" defaultColWidth="11.44140625" defaultRowHeight="14.4" x14ac:dyDescent="0.3"/>
  <cols>
    <col min="1" max="1" width="31.5546875" bestFit="1" customWidth="1"/>
  </cols>
  <sheetData>
    <row r="1" spans="1:1" x14ac:dyDescent="0.3">
      <c r="A1" t="s">
        <v>51</v>
      </c>
    </row>
    <row r="2" spans="1:1" x14ac:dyDescent="0.3">
      <c r="A2" t="s">
        <v>52</v>
      </c>
    </row>
    <row r="3" spans="1:1" x14ac:dyDescent="0.3">
      <c r="A3" t="s">
        <v>53</v>
      </c>
    </row>
    <row r="4" spans="1:1" x14ac:dyDescent="0.3">
      <c r="A4" t="s">
        <v>54</v>
      </c>
    </row>
    <row r="5" spans="1:1" x14ac:dyDescent="0.3">
      <c r="A5" t="s">
        <v>55</v>
      </c>
    </row>
    <row r="6" spans="1:1" x14ac:dyDescent="0.3">
      <c r="A6" t="s">
        <v>56</v>
      </c>
    </row>
    <row r="7" spans="1:1" x14ac:dyDescent="0.3">
      <c r="A7" t="s">
        <v>57</v>
      </c>
    </row>
    <row r="8" spans="1:1" x14ac:dyDescent="0.3">
      <c r="A8" t="s">
        <v>58</v>
      </c>
    </row>
    <row r="9" spans="1:1" x14ac:dyDescent="0.3">
      <c r="A9" t="s">
        <v>59</v>
      </c>
    </row>
    <row r="10" spans="1:1" x14ac:dyDescent="0.3">
      <c r="A10" t="s">
        <v>60</v>
      </c>
    </row>
    <row r="11" spans="1:1" x14ac:dyDescent="0.3">
      <c r="A11" t="s">
        <v>61</v>
      </c>
    </row>
    <row r="12" spans="1:1" x14ac:dyDescent="0.3">
      <c r="A12" t="s">
        <v>62</v>
      </c>
    </row>
    <row r="13" spans="1:1" x14ac:dyDescent="0.3">
      <c r="A13" t="s">
        <v>63</v>
      </c>
    </row>
    <row r="14" spans="1:1" x14ac:dyDescent="0.3">
      <c r="A14" t="s">
        <v>64</v>
      </c>
    </row>
    <row r="15" spans="1:1" x14ac:dyDescent="0.3">
      <c r="A15" t="s">
        <v>65</v>
      </c>
    </row>
    <row r="16" spans="1:1" x14ac:dyDescent="0.3">
      <c r="A16" t="s">
        <v>66</v>
      </c>
    </row>
    <row r="17" spans="1:1" x14ac:dyDescent="0.3">
      <c r="A17" t="s">
        <v>67</v>
      </c>
    </row>
    <row r="18" spans="1:1" x14ac:dyDescent="0.3">
      <c r="A18" t="s">
        <v>68</v>
      </c>
    </row>
    <row r="19" spans="1:1" x14ac:dyDescent="0.3">
      <c r="A19" t="s">
        <v>69</v>
      </c>
    </row>
    <row r="20" spans="1:1" x14ac:dyDescent="0.3">
      <c r="A20" t="s">
        <v>70</v>
      </c>
    </row>
    <row r="21" spans="1:1" x14ac:dyDescent="0.3">
      <c r="A21" t="s">
        <v>71</v>
      </c>
    </row>
    <row r="22" spans="1:1" x14ac:dyDescent="0.3">
      <c r="A22" t="s">
        <v>72</v>
      </c>
    </row>
    <row r="23" spans="1:1" x14ac:dyDescent="0.3">
      <c r="A23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2CB979-71A0-4046-90DF-228BDCE08E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Guia de implementación</vt:lpstr>
      <vt:lpstr>Rollback</vt:lpstr>
      <vt:lpstr>Notificación</vt:lpstr>
      <vt:lpstr>Check Base de Datos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2026-05-22T13:03:25Z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